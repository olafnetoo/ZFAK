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TestowanieFak\"/>
    </mc:Choice>
  </mc:AlternateContent>
  <xr:revisionPtr revIDLastSave="0" documentId="13_ncr:1_{8C76F15B-26A6-4EFE-9A07-C500E339FA82}" xr6:coauthVersionLast="47" xr6:coauthVersionMax="47" xr10:uidLastSave="{00000000-0000-0000-0000-000000000000}"/>
  <bookViews>
    <workbookView xWindow="-28920" yWindow="-120" windowWidth="29040" windowHeight="16440" xr2:uid="{2307812C-08AA-4466-A472-2BA382B90CD6}"/>
  </bookViews>
  <sheets>
    <sheet name="Arkusz1" sheetId="1" r:id="rId1"/>
    <sheet name="Arkusz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B19" i="1"/>
</calcChain>
</file>

<file path=xl/sharedStrings.xml><?xml version="1.0" encoding="utf-8"?>
<sst xmlns="http://schemas.openxmlformats.org/spreadsheetml/2006/main" count="38" uniqueCount="38">
  <si>
    <t>Drużyny</t>
  </si>
  <si>
    <t>Rozegrane mecze</t>
  </si>
  <si>
    <t>Pkt</t>
  </si>
  <si>
    <t>Asy na set</t>
  </si>
  <si>
    <t>Neg</t>
  </si>
  <si>
    <t>Miejsce na koniec rozgrywek</t>
  </si>
  <si>
    <t>Aluron CMC Warta Zawiercie</t>
  </si>
  <si>
    <t>Asseco Resovia Rzeszów</t>
  </si>
  <si>
    <t>Barkom Każany Lwów</t>
  </si>
  <si>
    <t>Bogdanka LUK Lublin</t>
  </si>
  <si>
    <t>Gks Katowice</t>
  </si>
  <si>
    <t>Indykpol AZS Olsztyn</t>
  </si>
  <si>
    <t>Nowak-Mosty MKS Będzin</t>
  </si>
  <si>
    <t>PGE Giek SKRA Bełchatów</t>
  </si>
  <si>
    <t>PGE Projekt Warszawa</t>
  </si>
  <si>
    <t>PSG Stal Nysa</t>
  </si>
  <si>
    <t>Steam Hemarpol Norwid Częstochowa</t>
  </si>
  <si>
    <t>Ślepsk Malow Suwałki</t>
  </si>
  <si>
    <t>Trefl Gdańsk</t>
  </si>
  <si>
    <t>Zaksa Kędzierzyn-Koźle</t>
  </si>
  <si>
    <t>Perf A</t>
  </si>
  <si>
    <t>Perf P</t>
  </si>
  <si>
    <t>JSW Jastrzębski Węgiel</t>
  </si>
  <si>
    <t>Średnia:</t>
  </si>
  <si>
    <t>Liczba Zagrywek</t>
  </si>
  <si>
    <t>Cuprum Stilon Gorzów</t>
  </si>
  <si>
    <t>Sety</t>
  </si>
  <si>
    <t>As</t>
  </si>
  <si>
    <t>Bł s</t>
  </si>
  <si>
    <t>Liczba p</t>
  </si>
  <si>
    <t>Bł p</t>
  </si>
  <si>
    <t>Perf p%</t>
  </si>
  <si>
    <t>Liczba ataków</t>
  </si>
  <si>
    <t>Bł a</t>
  </si>
  <si>
    <t>Blok</t>
  </si>
  <si>
    <t>Pkt na set blokiem</t>
  </si>
  <si>
    <t>Perf a%</t>
  </si>
  <si>
    <t>Pkt blokiem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</si>
</sst>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% perfekcyjnego ataku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19050">
              <a:solidFill>
                <a:srgbClr val="FF0000"/>
              </a:solidFill>
            </a:ln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2040-4A62-839A-901A34F785D8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2040-4A62-839A-901A34F785D8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2040-4A62-839A-901A34F785D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Bogdanka LUK Lublin</c:v>
              </c:pt>
              <c:pt idx="1">
                <c:v>PGE Projekt Warszawa</c:v>
              </c:pt>
              <c:pt idx="2">
                <c:v>PSG Stal Nysa</c:v>
              </c:pt>
            </c:strLit>
          </c:cat>
          <c:val>
            <c:numLit>
              <c:formatCode>General</c:formatCode>
              <c:ptCount val="3"/>
              <c:pt idx="0">
                <c:v>50.74</c:v>
              </c:pt>
              <c:pt idx="1">
                <c:v>51.46</c:v>
              </c:pt>
              <c:pt idx="2">
                <c:v>48.33</c:v>
              </c:pt>
            </c:numLit>
          </c:val>
          <c:extLst>
            <c:ext xmlns:c16="http://schemas.microsoft.com/office/drawing/2014/chart" uri="{C3380CC4-5D6E-409C-BE32-E72D297353CC}">
              <c16:uniqueId val="{00000006-2040-4A62-839A-901A34F78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459648"/>
        <c:axId val="1119462528"/>
      </c:barChart>
      <c:catAx>
        <c:axId val="111945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9462528"/>
        <c:crosses val="autoZero"/>
        <c:auto val="1"/>
        <c:lblAlgn val="ctr"/>
        <c:lblOffset val="100"/>
        <c:noMultiLvlLbl val="0"/>
      </c:catAx>
      <c:valAx>
        <c:axId val="111946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9459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Skuteczność zagrywki (%)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19050">
              <a:solidFill>
                <a:srgbClr val="FF0000"/>
              </a:solidFill>
            </a:ln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5DF6-48D5-95BB-C410F63A546E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5DF6-48D5-95BB-C410F63A546E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5DF6-48D5-95BB-C410F63A546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Bogdanka LUK Lublin</c:v>
              </c:pt>
              <c:pt idx="1">
                <c:v>PGE Projekt Warszawa</c:v>
              </c:pt>
              <c:pt idx="2">
                <c:v>PSG Stal Nysa</c:v>
              </c:pt>
            </c:strLit>
          </c:cat>
          <c:val>
            <c:numLit>
              <c:formatCode>General</c:formatCode>
              <c:ptCount val="3"/>
              <c:pt idx="0">
                <c:v>8.1441543700340535</c:v>
              </c:pt>
              <c:pt idx="1">
                <c:v>6.6978648727698156</c:v>
              </c:pt>
              <c:pt idx="2">
                <c:v>6.7220245156188216</c:v>
              </c:pt>
            </c:numLit>
          </c:val>
          <c:extLst>
            <c:ext xmlns:c16="http://schemas.microsoft.com/office/drawing/2014/chart" uri="{C3380CC4-5D6E-409C-BE32-E72D297353CC}">
              <c16:uniqueId val="{00000006-5DF6-48D5-95BB-C410F63A5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5444864"/>
        <c:axId val="945464544"/>
      </c:barChart>
      <c:catAx>
        <c:axId val="94544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5464544"/>
        <c:crosses val="autoZero"/>
        <c:auto val="1"/>
        <c:lblAlgn val="ctr"/>
        <c:lblOffset val="100"/>
        <c:noMultiLvlLbl val="0"/>
      </c:catAx>
      <c:valAx>
        <c:axId val="94546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54448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Pkt blokiem na set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19050">
              <a:solidFill>
                <a:srgbClr val="FF0000"/>
              </a:solidFill>
            </a:ln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3AB6-4506-9D50-A501BD2BBBE4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AB6-4506-9D50-A501BD2BBBE4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3AB6-4506-9D50-A501BD2BBBE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Bogdanka LUK Lublin</c:v>
              </c:pt>
              <c:pt idx="1">
                <c:v>PGE Projekt Warszawa</c:v>
              </c:pt>
              <c:pt idx="2">
                <c:v>PSG Stal Nysa</c:v>
              </c:pt>
            </c:strLit>
          </c:cat>
          <c:val>
            <c:numLit>
              <c:formatCode>General</c:formatCode>
              <c:ptCount val="3"/>
              <c:pt idx="0">
                <c:v>2.39</c:v>
              </c:pt>
              <c:pt idx="1">
                <c:v>2.4700000000000002</c:v>
              </c:pt>
              <c:pt idx="2">
                <c:v>2.0299999999999998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AB6-4506-9D50-A501BD2B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478848"/>
        <c:axId val="1119479328"/>
      </c:barChart>
      <c:catAx>
        <c:axId val="111947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9479328"/>
        <c:crosses val="autoZero"/>
        <c:auto val="1"/>
        <c:lblAlgn val="ctr"/>
        <c:lblOffset val="100"/>
        <c:noMultiLvlLbl val="0"/>
      </c:catAx>
      <c:valAx>
        <c:axId val="111947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9478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% perfekcyjnego przyjęcia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19050">
              <a:solidFill>
                <a:srgbClr val="FF0000"/>
              </a:solidFill>
            </a:ln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EA88-44BB-B0C0-0E4C4452527A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EA88-44BB-B0C0-0E4C4452527A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9050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EA88-44BB-B0C0-0E4C4452527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3"/>
              <c:pt idx="0">
                <c:v>Bogdanka LUK Lublin</c:v>
              </c:pt>
              <c:pt idx="1">
                <c:v>PGE Projekt Warszawa</c:v>
              </c:pt>
              <c:pt idx="2">
                <c:v>PSG Stal Nysa</c:v>
              </c:pt>
            </c:strLit>
          </c:cat>
          <c:val>
            <c:numLit>
              <c:formatCode>General</c:formatCode>
              <c:ptCount val="3"/>
              <c:pt idx="0">
                <c:v>19.43</c:v>
              </c:pt>
              <c:pt idx="1">
                <c:v>20.69</c:v>
              </c:pt>
              <c:pt idx="2">
                <c:v>14.83</c:v>
              </c:pt>
            </c:numLit>
          </c:val>
          <c:extLst>
            <c:ext xmlns:c16="http://schemas.microsoft.com/office/drawing/2014/chart" uri="{C3380CC4-5D6E-409C-BE32-E72D297353CC}">
              <c16:uniqueId val="{00000006-EA88-44BB-B0C0-0E4C44525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9468288"/>
        <c:axId val="1119480288"/>
      </c:barChart>
      <c:catAx>
        <c:axId val="111946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9480288"/>
        <c:crosses val="autoZero"/>
        <c:auto val="1"/>
        <c:lblAlgn val="ctr"/>
        <c:lblOffset val="100"/>
        <c:noMultiLvlLbl val="0"/>
      </c:catAx>
      <c:valAx>
        <c:axId val="111948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9468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20</xdr:row>
          <xdr:rowOff>47625</xdr:rowOff>
        </xdr:from>
        <xdr:to>
          <xdr:col>0</xdr:col>
          <xdr:colOff>1905000</xdr:colOff>
          <xdr:row>23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Analiza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</xdr:colOff>
      <xdr:row>0</xdr:row>
      <xdr:rowOff>0</xdr:rowOff>
    </xdr:from>
    <xdr:to>
      <xdr:col>10</xdr:col>
      <xdr:colOff>257810</xdr:colOff>
      <xdr:row>21</xdr:row>
      <xdr:rowOff>15240</xdr:rowOff>
    </xdr:to>
    <xdr:graphicFrame macro="">
      <xdr:nvGraphicFramePr>
        <xdr:cNvPr id="2" name="WykresZHerbami">
          <a:extLst>
            <a:ext uri="{FF2B5EF4-FFF2-40B4-BE49-F238E27FC236}">
              <a16:creationId xmlns:a16="http://schemas.microsoft.com/office/drawing/2014/main" id="{12AC6776-D868-43CB-BA75-38531A14E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0</xdr:row>
      <xdr:rowOff>0</xdr:rowOff>
    </xdr:from>
    <xdr:to>
      <xdr:col>20</xdr:col>
      <xdr:colOff>574040</xdr:colOff>
      <xdr:row>21</xdr:row>
      <xdr:rowOff>11430</xdr:rowOff>
    </xdr:to>
    <xdr:graphicFrame macro="">
      <xdr:nvGraphicFramePr>
        <xdr:cNvPr id="3" name="WykresZHerbami">
          <a:extLst>
            <a:ext uri="{FF2B5EF4-FFF2-40B4-BE49-F238E27FC236}">
              <a16:creationId xmlns:a16="http://schemas.microsoft.com/office/drawing/2014/main" id="{8437016C-DC8A-4950-A11B-2B65292E9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57150</xdr:rowOff>
    </xdr:from>
    <xdr:to>
      <xdr:col>10</xdr:col>
      <xdr:colOff>250190</xdr:colOff>
      <xdr:row>42</xdr:row>
      <xdr:rowOff>68580</xdr:rowOff>
    </xdr:to>
    <xdr:graphicFrame macro="">
      <xdr:nvGraphicFramePr>
        <xdr:cNvPr id="4" name="WykresZHerbami">
          <a:extLst>
            <a:ext uri="{FF2B5EF4-FFF2-40B4-BE49-F238E27FC236}">
              <a16:creationId xmlns:a16="http://schemas.microsoft.com/office/drawing/2014/main" id="{61BFD0FD-FF39-4B08-8506-A5914D25B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360045</xdr:colOff>
      <xdr:row>22</xdr:row>
      <xdr:rowOff>9525</xdr:rowOff>
    </xdr:from>
    <xdr:to>
      <xdr:col>22</xdr:col>
      <xdr:colOff>6350</xdr:colOff>
      <xdr:row>43</xdr:row>
      <xdr:rowOff>24765</xdr:rowOff>
    </xdr:to>
    <xdr:graphicFrame macro="">
      <xdr:nvGraphicFramePr>
        <xdr:cNvPr id="5" name="WykresZHerbami">
          <a:extLst>
            <a:ext uri="{FF2B5EF4-FFF2-40B4-BE49-F238E27FC236}">
              <a16:creationId xmlns:a16="http://schemas.microsoft.com/office/drawing/2014/main" id="{AB3F53E7-82EE-4034-9D64-2AE4B4831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D8258-38E6-44C1-8F91-438CE0CCC07B}">
  <sheetPr codeName="Arkusz1"/>
  <dimension ref="A1:V20"/>
  <sheetViews>
    <sheetView tabSelected="1" workbookViewId="0">
      <selection activeCell="C31" sqref="C31"/>
    </sheetView>
  </sheetViews>
  <sheetFormatPr defaultRowHeight="14.4" x14ac:dyDescent="0.3"/>
  <cols>
    <col min="1" max="1" width="34.5546875" customWidth="1"/>
    <col min="2" max="2" width="18.88671875" customWidth="1"/>
    <col min="5" max="5" width="16.109375" customWidth="1"/>
    <col min="8" max="8" width="12.5546875" customWidth="1"/>
    <col min="13" max="13" width="12.5546875" customWidth="1"/>
    <col min="14" max="14" width="14.44140625" customWidth="1"/>
    <col min="16" max="16" width="10.5546875" customWidth="1"/>
    <col min="18" max="18" width="11.109375" customWidth="1"/>
    <col min="19" max="19" width="11.5546875" customWidth="1"/>
    <col min="20" max="20" width="17.88671875" customWidth="1"/>
    <col min="21" max="21" width="28.88671875" customWidth="1"/>
  </cols>
  <sheetData>
    <row r="1" spans="1:22" ht="16.8" thickTop="1" thickBot="1" x14ac:dyDescent="0.35">
      <c r="A1" s="1" t="s">
        <v>0</v>
      </c>
      <c r="B1" s="1" t="s">
        <v>1</v>
      </c>
      <c r="C1" s="1" t="s">
        <v>26</v>
      </c>
      <c r="D1" s="1" t="s">
        <v>2</v>
      </c>
      <c r="E1" s="1" t="s">
        <v>24</v>
      </c>
      <c r="F1" s="1" t="s">
        <v>27</v>
      </c>
      <c r="G1" s="1" t="s">
        <v>28</v>
      </c>
      <c r="H1" s="1" t="s">
        <v>3</v>
      </c>
      <c r="I1" s="1" t="s">
        <v>29</v>
      </c>
      <c r="J1" s="1" t="s">
        <v>30</v>
      </c>
      <c r="K1" s="1" t="s">
        <v>4</v>
      </c>
      <c r="L1" s="1" t="s">
        <v>21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20</v>
      </c>
      <c r="R1" s="1" t="s">
        <v>36</v>
      </c>
      <c r="S1" s="1" t="s">
        <v>37</v>
      </c>
      <c r="T1" s="1" t="s">
        <v>35</v>
      </c>
      <c r="U1" s="1" t="s">
        <v>5</v>
      </c>
      <c r="V1" s="4"/>
    </row>
    <row r="2" spans="1:22" ht="15.6" thickTop="1" thickBot="1" x14ac:dyDescent="0.35">
      <c r="A2" s="2" t="s">
        <v>6</v>
      </c>
      <c r="B2" s="2">
        <v>39</v>
      </c>
      <c r="C2" s="2">
        <v>146</v>
      </c>
      <c r="D2" s="2">
        <v>2434</v>
      </c>
      <c r="E2" s="2">
        <v>3370</v>
      </c>
      <c r="F2" s="2">
        <v>265</v>
      </c>
      <c r="G2" s="2">
        <v>704</v>
      </c>
      <c r="H2" s="2">
        <v>1.82</v>
      </c>
      <c r="I2" s="2">
        <v>2470</v>
      </c>
      <c r="J2" s="2">
        <v>214</v>
      </c>
      <c r="K2" s="2">
        <v>692</v>
      </c>
      <c r="L2" s="2">
        <v>454</v>
      </c>
      <c r="M2" s="2">
        <v>18.38</v>
      </c>
      <c r="N2" s="2">
        <v>3679</v>
      </c>
      <c r="O2" s="2">
        <v>224</v>
      </c>
      <c r="P2" s="2">
        <v>261</v>
      </c>
      <c r="Q2" s="2">
        <v>1875</v>
      </c>
      <c r="R2" s="2">
        <v>50.96</v>
      </c>
      <c r="S2" s="2">
        <v>294</v>
      </c>
      <c r="T2" s="2">
        <v>2.0099999999999998</v>
      </c>
      <c r="U2" s="2">
        <v>2</v>
      </c>
    </row>
    <row r="3" spans="1:22" ht="15.6" thickTop="1" thickBot="1" x14ac:dyDescent="0.35">
      <c r="A3" s="2" t="s">
        <v>7</v>
      </c>
      <c r="B3" s="2">
        <v>34</v>
      </c>
      <c r="C3" s="2">
        <v>139</v>
      </c>
      <c r="D3" s="2">
        <v>2311</v>
      </c>
      <c r="E3" s="2">
        <v>3142</v>
      </c>
      <c r="F3" s="2">
        <v>209</v>
      </c>
      <c r="G3" s="2">
        <v>621</v>
      </c>
      <c r="H3" s="2">
        <v>1.5</v>
      </c>
      <c r="I3" s="2">
        <v>2526</v>
      </c>
      <c r="J3" s="2">
        <v>194</v>
      </c>
      <c r="K3" s="2">
        <v>644</v>
      </c>
      <c r="L3" s="2">
        <v>531</v>
      </c>
      <c r="M3" s="2">
        <v>21.02</v>
      </c>
      <c r="N3" s="2">
        <v>3624</v>
      </c>
      <c r="O3" s="2">
        <v>227</v>
      </c>
      <c r="P3" s="2">
        <v>315</v>
      </c>
      <c r="Q3" s="2">
        <v>1762</v>
      </c>
      <c r="R3" s="2">
        <v>48.62</v>
      </c>
      <c r="S3" s="2">
        <v>340</v>
      </c>
      <c r="T3" s="2">
        <v>2.4500000000000002</v>
      </c>
      <c r="U3" s="2">
        <v>6</v>
      </c>
    </row>
    <row r="4" spans="1:22" ht="15.6" thickTop="1" thickBot="1" x14ac:dyDescent="0.35">
      <c r="A4" s="2" t="s">
        <v>8</v>
      </c>
      <c r="B4" s="2">
        <v>30</v>
      </c>
      <c r="C4" s="2">
        <v>119</v>
      </c>
      <c r="D4" s="2">
        <v>1894</v>
      </c>
      <c r="E4" s="2">
        <v>2608</v>
      </c>
      <c r="F4" s="2">
        <v>154</v>
      </c>
      <c r="G4" s="2">
        <v>482</v>
      </c>
      <c r="H4" s="2">
        <v>1.29</v>
      </c>
      <c r="I4" s="2">
        <v>2261</v>
      </c>
      <c r="J4" s="2">
        <v>189</v>
      </c>
      <c r="K4" s="2">
        <v>640</v>
      </c>
      <c r="L4" s="2">
        <v>401</v>
      </c>
      <c r="M4" s="2">
        <v>17.739999999999998</v>
      </c>
      <c r="N4" s="2">
        <v>2987</v>
      </c>
      <c r="O4" s="2">
        <v>182</v>
      </c>
      <c r="P4" s="2">
        <v>273</v>
      </c>
      <c r="Q4" s="2">
        <v>1460</v>
      </c>
      <c r="R4" s="2">
        <v>48.88</v>
      </c>
      <c r="S4" s="2">
        <v>280</v>
      </c>
      <c r="T4" s="2">
        <v>2.35</v>
      </c>
      <c r="U4" s="2">
        <v>13</v>
      </c>
    </row>
    <row r="5" spans="1:22" ht="15.6" thickTop="1" thickBot="1" x14ac:dyDescent="0.35">
      <c r="A5" s="2" t="s">
        <v>9</v>
      </c>
      <c r="B5" s="2">
        <v>40</v>
      </c>
      <c r="C5" s="2">
        <v>153</v>
      </c>
      <c r="D5" s="2">
        <v>2549</v>
      </c>
      <c r="E5" s="2">
        <v>3524</v>
      </c>
      <c r="F5" s="2">
        <v>287</v>
      </c>
      <c r="G5" s="2">
        <v>707</v>
      </c>
      <c r="H5" s="2">
        <v>1.88</v>
      </c>
      <c r="I5" s="2">
        <v>2615</v>
      </c>
      <c r="J5" s="2">
        <v>223</v>
      </c>
      <c r="K5" s="2">
        <v>659</v>
      </c>
      <c r="L5" s="2">
        <v>508</v>
      </c>
      <c r="M5" s="2">
        <v>19.43</v>
      </c>
      <c r="N5" s="2">
        <v>3737</v>
      </c>
      <c r="O5" s="2">
        <v>198</v>
      </c>
      <c r="P5" s="2">
        <v>307</v>
      </c>
      <c r="Q5" s="2">
        <v>1896</v>
      </c>
      <c r="R5" s="2">
        <v>50.74</v>
      </c>
      <c r="S5" s="2">
        <v>366</v>
      </c>
      <c r="T5" s="2">
        <v>2.39</v>
      </c>
      <c r="U5" s="2">
        <v>1</v>
      </c>
    </row>
    <row r="6" spans="1:22" ht="15.6" thickTop="1" thickBot="1" x14ac:dyDescent="0.35">
      <c r="A6" s="2" t="s">
        <v>25</v>
      </c>
      <c r="B6" s="2">
        <v>30</v>
      </c>
      <c r="C6" s="2">
        <v>117</v>
      </c>
      <c r="D6" s="2">
        <v>1885</v>
      </c>
      <c r="E6" s="2">
        <v>2599</v>
      </c>
      <c r="F6" s="2">
        <v>134</v>
      </c>
      <c r="G6" s="2">
        <v>485</v>
      </c>
      <c r="H6" s="2">
        <v>1.1499999999999999</v>
      </c>
      <c r="I6" s="2">
        <v>2250</v>
      </c>
      <c r="J6" s="2">
        <v>165</v>
      </c>
      <c r="K6" s="2">
        <v>647</v>
      </c>
      <c r="L6" s="2">
        <v>386</v>
      </c>
      <c r="M6" s="2">
        <v>17.16</v>
      </c>
      <c r="N6" s="2">
        <v>3144</v>
      </c>
      <c r="O6" s="2">
        <v>211</v>
      </c>
      <c r="P6" s="2">
        <v>298</v>
      </c>
      <c r="Q6" s="2">
        <v>1518</v>
      </c>
      <c r="R6" s="2">
        <v>48.28</v>
      </c>
      <c r="S6" s="2">
        <v>233</v>
      </c>
      <c r="T6" s="2">
        <v>1.99</v>
      </c>
      <c r="U6" s="2">
        <v>12</v>
      </c>
    </row>
    <row r="7" spans="1:22" ht="15.6" thickTop="1" thickBot="1" x14ac:dyDescent="0.35">
      <c r="A7" s="2" t="s">
        <v>10</v>
      </c>
      <c r="B7" s="2">
        <v>30</v>
      </c>
      <c r="C7" s="2">
        <v>114</v>
      </c>
      <c r="D7" s="2">
        <v>1753</v>
      </c>
      <c r="E7" s="2">
        <v>2435</v>
      </c>
      <c r="F7" s="2">
        <v>142</v>
      </c>
      <c r="G7" s="2">
        <v>525</v>
      </c>
      <c r="H7" s="2">
        <v>1.25</v>
      </c>
      <c r="I7" s="2">
        <v>2212</v>
      </c>
      <c r="J7" s="2">
        <v>198</v>
      </c>
      <c r="K7" s="2">
        <v>698</v>
      </c>
      <c r="L7" s="2">
        <v>341</v>
      </c>
      <c r="M7" s="2">
        <v>15.42</v>
      </c>
      <c r="N7" s="2">
        <v>2845</v>
      </c>
      <c r="O7" s="2">
        <v>204</v>
      </c>
      <c r="P7" s="2">
        <v>264</v>
      </c>
      <c r="Q7" s="2">
        <v>1375</v>
      </c>
      <c r="R7" s="2">
        <v>48.33</v>
      </c>
      <c r="S7" s="2">
        <v>236</v>
      </c>
      <c r="T7" s="2">
        <v>2.0699999999999998</v>
      </c>
      <c r="U7" s="2">
        <v>16</v>
      </c>
    </row>
    <row r="8" spans="1:22" ht="15.6" thickTop="1" thickBot="1" x14ac:dyDescent="0.35">
      <c r="A8" s="2" t="s">
        <v>11</v>
      </c>
      <c r="B8" s="2">
        <v>30</v>
      </c>
      <c r="C8" s="2">
        <v>112</v>
      </c>
      <c r="D8" s="2">
        <v>1786</v>
      </c>
      <c r="E8" s="2">
        <v>2516</v>
      </c>
      <c r="F8" s="2">
        <v>153</v>
      </c>
      <c r="G8" s="2">
        <v>422</v>
      </c>
      <c r="H8" s="2">
        <v>1.37</v>
      </c>
      <c r="I8" s="2">
        <v>2070</v>
      </c>
      <c r="J8" s="2">
        <v>123</v>
      </c>
      <c r="K8" s="2">
        <v>567</v>
      </c>
      <c r="L8" s="2">
        <v>433</v>
      </c>
      <c r="M8" s="2">
        <v>20.92</v>
      </c>
      <c r="N8" s="2">
        <v>2910</v>
      </c>
      <c r="O8" s="2">
        <v>205</v>
      </c>
      <c r="P8" s="2">
        <v>265</v>
      </c>
      <c r="Q8" s="2">
        <v>1387</v>
      </c>
      <c r="R8" s="2">
        <v>47.66</v>
      </c>
      <c r="S8" s="2">
        <v>246</v>
      </c>
      <c r="T8" s="2">
        <v>2.2000000000000002</v>
      </c>
      <c r="U8" s="2">
        <v>9</v>
      </c>
    </row>
    <row r="9" spans="1:22" ht="15.6" thickTop="1" thickBot="1" x14ac:dyDescent="0.35">
      <c r="A9" s="2" t="s">
        <v>22</v>
      </c>
      <c r="B9" s="2">
        <v>38</v>
      </c>
      <c r="C9" s="2">
        <v>144</v>
      </c>
      <c r="D9" s="2">
        <v>2427</v>
      </c>
      <c r="E9" s="2">
        <v>3385</v>
      </c>
      <c r="F9" s="2">
        <v>207</v>
      </c>
      <c r="G9" s="2">
        <v>657</v>
      </c>
      <c r="H9" s="2">
        <v>1.44</v>
      </c>
      <c r="I9" s="2">
        <v>2479</v>
      </c>
      <c r="J9" s="2">
        <v>199</v>
      </c>
      <c r="K9" s="2">
        <v>667</v>
      </c>
      <c r="L9" s="2">
        <v>473</v>
      </c>
      <c r="M9" s="2">
        <v>19.079999999999998</v>
      </c>
      <c r="N9" s="2">
        <v>3627</v>
      </c>
      <c r="O9" s="2">
        <v>203</v>
      </c>
      <c r="P9" s="2">
        <v>250</v>
      </c>
      <c r="Q9" s="2">
        <v>1892</v>
      </c>
      <c r="R9" s="2">
        <v>52.16</v>
      </c>
      <c r="S9" s="2">
        <v>328</v>
      </c>
      <c r="T9" s="2">
        <v>2.2799999999999998</v>
      </c>
      <c r="U9" s="2">
        <v>4</v>
      </c>
    </row>
    <row r="10" spans="1:22" ht="15.6" thickTop="1" thickBot="1" x14ac:dyDescent="0.35">
      <c r="A10" s="2" t="s">
        <v>12</v>
      </c>
      <c r="B10" s="2">
        <v>30</v>
      </c>
      <c r="C10" s="2">
        <v>109</v>
      </c>
      <c r="D10" s="2">
        <v>1547</v>
      </c>
      <c r="E10" s="2">
        <v>2240</v>
      </c>
      <c r="F10" s="2">
        <v>122</v>
      </c>
      <c r="G10" s="2">
        <v>456</v>
      </c>
      <c r="H10" s="2">
        <v>1.1200000000000001</v>
      </c>
      <c r="I10" s="2">
        <v>2127</v>
      </c>
      <c r="J10" s="2">
        <v>189</v>
      </c>
      <c r="K10" s="2">
        <v>593</v>
      </c>
      <c r="L10" s="2">
        <v>396</v>
      </c>
      <c r="M10" s="2">
        <v>18.62</v>
      </c>
      <c r="N10" s="2">
        <v>2805</v>
      </c>
      <c r="O10" s="2">
        <v>191</v>
      </c>
      <c r="P10" s="2">
        <v>273</v>
      </c>
      <c r="Q10" s="2">
        <v>1240</v>
      </c>
      <c r="R10" s="2">
        <v>44.21</v>
      </c>
      <c r="S10" s="2">
        <v>185</v>
      </c>
      <c r="T10" s="2">
        <v>1.7</v>
      </c>
      <c r="U10" s="2">
        <v>15</v>
      </c>
    </row>
    <row r="11" spans="1:22" ht="15.6" thickTop="1" thickBot="1" x14ac:dyDescent="0.35">
      <c r="A11" s="2" t="s">
        <v>13</v>
      </c>
      <c r="B11" s="2">
        <v>32</v>
      </c>
      <c r="C11" s="2">
        <v>125</v>
      </c>
      <c r="D11" s="2">
        <v>2061</v>
      </c>
      <c r="E11" s="2">
        <v>2803</v>
      </c>
      <c r="F11" s="2">
        <v>191</v>
      </c>
      <c r="G11" s="2">
        <v>482</v>
      </c>
      <c r="H11" s="2">
        <v>1.53</v>
      </c>
      <c r="I11" s="2">
        <v>2304</v>
      </c>
      <c r="J11" s="2">
        <v>210</v>
      </c>
      <c r="K11" s="2">
        <v>688</v>
      </c>
      <c r="L11" s="2">
        <v>394</v>
      </c>
      <c r="M11" s="2">
        <v>17.100000000000001</v>
      </c>
      <c r="N11" s="2">
        <v>3219</v>
      </c>
      <c r="O11" s="2">
        <v>175</v>
      </c>
      <c r="P11" s="2">
        <v>262</v>
      </c>
      <c r="Q11" s="2">
        <v>1592</v>
      </c>
      <c r="R11" s="2">
        <v>49.46</v>
      </c>
      <c r="S11" s="2">
        <v>278</v>
      </c>
      <c r="T11" s="2">
        <v>2.2200000000000002</v>
      </c>
      <c r="U11" s="2">
        <v>7</v>
      </c>
    </row>
    <row r="12" spans="1:22" ht="15.6" thickTop="1" thickBot="1" x14ac:dyDescent="0.35">
      <c r="A12" s="2" t="s">
        <v>14</v>
      </c>
      <c r="B12" s="2">
        <v>38</v>
      </c>
      <c r="C12" s="2">
        <v>149</v>
      </c>
      <c r="D12" s="2">
        <v>2538</v>
      </c>
      <c r="E12" s="2">
        <v>3419</v>
      </c>
      <c r="F12" s="2">
        <v>229</v>
      </c>
      <c r="G12" s="2">
        <v>584</v>
      </c>
      <c r="H12" s="2">
        <v>1.54</v>
      </c>
      <c r="I12" s="2">
        <v>2591</v>
      </c>
      <c r="J12" s="2">
        <v>163</v>
      </c>
      <c r="K12" s="2">
        <v>725</v>
      </c>
      <c r="L12" s="2">
        <v>536</v>
      </c>
      <c r="M12" s="2">
        <v>20.69</v>
      </c>
      <c r="N12" s="2">
        <v>3772</v>
      </c>
      <c r="O12" s="2">
        <v>210</v>
      </c>
      <c r="P12" s="2">
        <v>281</v>
      </c>
      <c r="Q12" s="2">
        <v>1941</v>
      </c>
      <c r="R12" s="2">
        <v>51.46</v>
      </c>
      <c r="S12" s="2">
        <v>368</v>
      </c>
      <c r="T12" s="2">
        <v>2.4700000000000002</v>
      </c>
      <c r="U12" s="2">
        <v>3</v>
      </c>
    </row>
    <row r="13" spans="1:22" ht="15.6" thickTop="1" thickBot="1" x14ac:dyDescent="0.35">
      <c r="A13" s="2" t="s">
        <v>15</v>
      </c>
      <c r="B13" s="2">
        <v>30</v>
      </c>
      <c r="C13" s="2">
        <v>117</v>
      </c>
      <c r="D13" s="2">
        <v>1824</v>
      </c>
      <c r="E13" s="2">
        <v>2529</v>
      </c>
      <c r="F13" s="2">
        <v>170</v>
      </c>
      <c r="G13" s="2">
        <v>493</v>
      </c>
      <c r="H13" s="2">
        <v>1.45</v>
      </c>
      <c r="I13" s="2">
        <v>2225</v>
      </c>
      <c r="J13" s="2">
        <v>196</v>
      </c>
      <c r="K13" s="2">
        <v>634</v>
      </c>
      <c r="L13" s="2">
        <v>330</v>
      </c>
      <c r="M13" s="2">
        <v>14.83</v>
      </c>
      <c r="N13" s="2">
        <v>2930</v>
      </c>
      <c r="O13" s="2">
        <v>165</v>
      </c>
      <c r="P13" s="2">
        <v>247</v>
      </c>
      <c r="Q13" s="2">
        <v>1416</v>
      </c>
      <c r="R13" s="2">
        <v>48.33</v>
      </c>
      <c r="S13" s="2">
        <v>238</v>
      </c>
      <c r="T13" s="2">
        <v>2.0299999999999998</v>
      </c>
      <c r="U13" s="2">
        <v>14</v>
      </c>
    </row>
    <row r="14" spans="1:22" ht="15.6" thickTop="1" thickBot="1" x14ac:dyDescent="0.35">
      <c r="A14" s="2" t="s">
        <v>16</v>
      </c>
      <c r="B14" s="2">
        <v>32</v>
      </c>
      <c r="C14" s="2">
        <v>127</v>
      </c>
      <c r="D14" s="2">
        <v>2117</v>
      </c>
      <c r="E14" s="2">
        <v>2849</v>
      </c>
      <c r="F14" s="2">
        <v>153</v>
      </c>
      <c r="G14" s="2">
        <v>515</v>
      </c>
      <c r="H14" s="2">
        <v>1.2</v>
      </c>
      <c r="I14" s="2">
        <v>2345</v>
      </c>
      <c r="J14" s="2">
        <v>187</v>
      </c>
      <c r="K14" s="2">
        <v>679</v>
      </c>
      <c r="L14" s="2">
        <v>411</v>
      </c>
      <c r="M14" s="2">
        <v>17.53</v>
      </c>
      <c r="N14" s="2">
        <v>3396</v>
      </c>
      <c r="O14" s="2">
        <v>179</v>
      </c>
      <c r="P14" s="2">
        <v>282</v>
      </c>
      <c r="Q14" s="2">
        <v>1698</v>
      </c>
      <c r="R14" s="2">
        <v>50</v>
      </c>
      <c r="S14" s="2">
        <v>266</v>
      </c>
      <c r="T14" s="2">
        <v>2.09</v>
      </c>
      <c r="U14" s="2">
        <v>8</v>
      </c>
    </row>
    <row r="15" spans="1:22" ht="15.6" thickTop="1" thickBot="1" x14ac:dyDescent="0.35">
      <c r="A15" s="2" t="s">
        <v>17</v>
      </c>
      <c r="B15" s="2">
        <v>30</v>
      </c>
      <c r="C15" s="2">
        <v>122</v>
      </c>
      <c r="D15" s="2">
        <v>1882</v>
      </c>
      <c r="E15" s="2">
        <v>2665</v>
      </c>
      <c r="F15" s="2">
        <v>190</v>
      </c>
      <c r="G15" s="2">
        <v>475</v>
      </c>
      <c r="H15" s="2">
        <v>1.56</v>
      </c>
      <c r="I15" s="2">
        <v>2201</v>
      </c>
      <c r="J15" s="2">
        <v>181</v>
      </c>
      <c r="K15" s="2">
        <v>493</v>
      </c>
      <c r="L15" s="2">
        <v>445</v>
      </c>
      <c r="M15" s="2">
        <v>20.22</v>
      </c>
      <c r="N15" s="2">
        <v>3017</v>
      </c>
      <c r="O15" s="2">
        <v>199</v>
      </c>
      <c r="P15" s="2">
        <v>295</v>
      </c>
      <c r="Q15" s="2">
        <v>1482</v>
      </c>
      <c r="R15" s="2">
        <v>49.12</v>
      </c>
      <c r="S15" s="2">
        <v>210</v>
      </c>
      <c r="T15" s="2">
        <v>1.72</v>
      </c>
      <c r="U15" s="2">
        <v>10</v>
      </c>
    </row>
    <row r="16" spans="1:22" ht="15.6" thickTop="1" thickBot="1" x14ac:dyDescent="0.35">
      <c r="A16" s="2" t="s">
        <v>18</v>
      </c>
      <c r="B16" s="2">
        <v>30</v>
      </c>
      <c r="C16" s="2">
        <v>120</v>
      </c>
      <c r="D16" s="2">
        <v>1863</v>
      </c>
      <c r="E16" s="2">
        <v>2608</v>
      </c>
      <c r="F16" s="2">
        <v>138</v>
      </c>
      <c r="G16" s="2">
        <v>381</v>
      </c>
      <c r="H16" s="2">
        <v>1.1499999999999999</v>
      </c>
      <c r="I16" s="2">
        <v>2237</v>
      </c>
      <c r="J16" s="2">
        <v>148</v>
      </c>
      <c r="K16" s="2">
        <v>642</v>
      </c>
      <c r="L16" s="2">
        <v>388</v>
      </c>
      <c r="M16" s="2">
        <v>17.34</v>
      </c>
      <c r="N16" s="2">
        <v>3105</v>
      </c>
      <c r="O16" s="2">
        <v>176</v>
      </c>
      <c r="P16" s="2">
        <v>305</v>
      </c>
      <c r="Q16" s="2">
        <v>1488</v>
      </c>
      <c r="R16" s="2">
        <v>47.92</v>
      </c>
      <c r="S16" s="2">
        <v>237</v>
      </c>
      <c r="T16" s="2">
        <v>1.98</v>
      </c>
      <c r="U16" s="2">
        <v>11</v>
      </c>
    </row>
    <row r="17" spans="1:21" ht="15.6" thickTop="1" thickBot="1" x14ac:dyDescent="0.35">
      <c r="A17" s="2" t="s">
        <v>19</v>
      </c>
      <c r="B17" s="2">
        <v>35</v>
      </c>
      <c r="C17" s="2">
        <v>135</v>
      </c>
      <c r="D17" s="2">
        <v>2299</v>
      </c>
      <c r="E17" s="2">
        <v>3114</v>
      </c>
      <c r="F17" s="2">
        <v>191</v>
      </c>
      <c r="G17" s="2">
        <v>518</v>
      </c>
      <c r="H17" s="2">
        <v>1.41</v>
      </c>
      <c r="I17" s="2">
        <v>2374</v>
      </c>
      <c r="J17" s="2">
        <v>155</v>
      </c>
      <c r="K17" s="2">
        <v>687</v>
      </c>
      <c r="L17" s="2">
        <v>473</v>
      </c>
      <c r="M17" s="2">
        <v>19.920000000000002</v>
      </c>
      <c r="N17" s="2">
        <v>3459</v>
      </c>
      <c r="O17" s="2">
        <v>197</v>
      </c>
      <c r="P17" s="2">
        <v>257</v>
      </c>
      <c r="Q17" s="2">
        <v>1778</v>
      </c>
      <c r="R17" s="2">
        <v>51.4</v>
      </c>
      <c r="S17" s="2">
        <v>330</v>
      </c>
      <c r="T17" s="2">
        <v>2.44</v>
      </c>
      <c r="U17" s="2">
        <v>5</v>
      </c>
    </row>
    <row r="18" spans="1:21" ht="15.6" thickTop="1" thickBot="1" x14ac:dyDescent="0.35"/>
    <row r="19" spans="1:21" ht="15.6" thickTop="1" thickBot="1" x14ac:dyDescent="0.35">
      <c r="A19" s="3" t="s">
        <v>23</v>
      </c>
      <c r="B19" s="3">
        <f>AVERAGE(B2:B17)</f>
        <v>33</v>
      </c>
      <c r="C19" s="3">
        <f t="shared" ref="C19:T19" si="0">AVERAGE(C2:C17)</f>
        <v>128</v>
      </c>
      <c r="D19" s="3">
        <f t="shared" si="0"/>
        <v>2073.125</v>
      </c>
      <c r="E19" s="3">
        <f t="shared" si="0"/>
        <v>2862.875</v>
      </c>
      <c r="F19" s="3">
        <f t="shared" si="0"/>
        <v>183.4375</v>
      </c>
      <c r="G19" s="3">
        <f t="shared" si="0"/>
        <v>531.6875</v>
      </c>
      <c r="H19" s="3">
        <f t="shared" si="0"/>
        <v>1.4162499999999998</v>
      </c>
      <c r="I19" s="3">
        <f t="shared" si="0"/>
        <v>2330.4375</v>
      </c>
      <c r="J19" s="3">
        <f t="shared" si="0"/>
        <v>183.375</v>
      </c>
      <c r="K19" s="3">
        <f t="shared" si="0"/>
        <v>647.1875</v>
      </c>
      <c r="L19" s="3">
        <f t="shared" si="0"/>
        <v>431.25</v>
      </c>
      <c r="M19" s="3">
        <f t="shared" si="0"/>
        <v>18.462499999999999</v>
      </c>
      <c r="N19" s="3">
        <f t="shared" si="0"/>
        <v>3266</v>
      </c>
      <c r="O19" s="3">
        <f t="shared" si="0"/>
        <v>196.625</v>
      </c>
      <c r="P19" s="3">
        <f t="shared" si="0"/>
        <v>277.1875</v>
      </c>
      <c r="Q19" s="3">
        <f t="shared" si="0"/>
        <v>1612.5</v>
      </c>
      <c r="R19" s="3">
        <f t="shared" si="0"/>
        <v>49.220624999999998</v>
      </c>
      <c r="S19" s="3">
        <f t="shared" si="0"/>
        <v>277.1875</v>
      </c>
      <c r="T19" s="3">
        <f t="shared" si="0"/>
        <v>2.149375</v>
      </c>
    </row>
    <row r="20" spans="1:21" ht="15" thickTop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kazFormularz">
                <anchor moveWithCells="1" sizeWithCells="1">
                  <from>
                    <xdr:col>0</xdr:col>
                    <xdr:colOff>563880</xdr:colOff>
                    <xdr:row>20</xdr:row>
                    <xdr:rowOff>45720</xdr:rowOff>
                  </from>
                  <to>
                    <xdr:col>0</xdr:col>
                    <xdr:colOff>1905000</xdr:colOff>
                    <xdr:row>23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C2FD7-E8E6-41BF-8A5B-AA2392920998}">
  <sheetPr codeName="Arkusz2"/>
  <dimension ref="A1"/>
  <sheetViews>
    <sheetView topLeftCell="A4" workbookViewId="0">
      <selection activeCell="Z22" sqref="Z22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2025-05-30T10:40:21Z</dcterms:created>
  <dcterms:modified xsi:type="dcterms:W3CDTF">2025-05-30T16:01:08Z</dcterms:modified>
</cp:coreProperties>
</file>